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acobtiegs/projects/bart_paper/bart_survival_paper/"/>
    </mc:Choice>
  </mc:AlternateContent>
  <xr:revisionPtr revIDLastSave="0" documentId="8_{E6EC54DA-7092-A248-9994-F776CBF44233}" xr6:coauthVersionLast="47" xr6:coauthVersionMax="47" xr10:uidLastSave="{00000000-0000-0000-0000-000000000000}"/>
  <bookViews>
    <workbookView xWindow="780" yWindow="2600" windowWidth="28060" windowHeight="176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2" l="1"/>
  <c r="P27" i="2"/>
  <c r="P28" i="2"/>
  <c r="P29" i="2"/>
  <c r="P30" i="2"/>
  <c r="P25" i="2"/>
  <c r="P41" i="2"/>
  <c r="P42" i="2"/>
  <c r="P43" i="2"/>
  <c r="P44" i="2"/>
  <c r="P45" i="2"/>
  <c r="P40" i="2"/>
  <c r="O41" i="2"/>
  <c r="O42" i="2"/>
  <c r="O43" i="2"/>
  <c r="O44" i="2"/>
  <c r="O45" i="2"/>
  <c r="O40" i="2"/>
  <c r="C45" i="2"/>
  <c r="D45" i="2"/>
  <c r="E45" i="2"/>
  <c r="F45" i="2"/>
  <c r="G45" i="2"/>
  <c r="C46" i="2"/>
  <c r="D46" i="2"/>
  <c r="E46" i="2"/>
  <c r="F46" i="2"/>
  <c r="G46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D40" i="2"/>
  <c r="E40" i="2"/>
  <c r="F40" i="2"/>
  <c r="G40" i="2"/>
  <c r="C40" i="2"/>
  <c r="C25" i="2"/>
  <c r="O26" i="2"/>
  <c r="O27" i="2"/>
  <c r="O28" i="2"/>
  <c r="O29" i="2"/>
  <c r="O30" i="2"/>
  <c r="O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D25" i="2"/>
  <c r="E25" i="2"/>
  <c r="F25" i="2"/>
  <c r="G25" i="2"/>
</calcChain>
</file>

<file path=xl/sharedStrings.xml><?xml version="1.0" encoding="utf-8"?>
<sst xmlns="http://schemas.openxmlformats.org/spreadsheetml/2006/main" count="128" uniqueCount="64">
  <si>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</si>
  <si>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</si>
  <si>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</si>
  <si>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</si>
  <si>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</si>
  <si>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</si>
  <si>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</si>
  <si>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</si>
  <si>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</si>
  <si>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</si>
  <si>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met</t>
  </si>
  <si>
    <t>model</t>
  </si>
  <si>
    <t>mean</t>
  </si>
  <si>
    <t>std</t>
  </si>
  <si>
    <t>rmse</t>
  </si>
  <si>
    <t>p</t>
  </si>
  <si>
    <t>r</t>
  </si>
  <si>
    <t>k</t>
  </si>
  <si>
    <t>bias</t>
  </si>
  <si>
    <t>cov</t>
  </si>
  <si>
    <t>ivl</t>
  </si>
  <si>
    <t>0.038 (0.008) </t>
  </si>
  <si>
    <t>0.066 (0.012) </t>
  </si>
  <si>
    <t>0.070 (0.015) </t>
  </si>
  <si>
    <t>0.068 (0.014) </t>
  </si>
  <si>
    <t>0.065 (0.014) </t>
  </si>
  <si>
    <t>0.038 (0.009) </t>
  </si>
  <si>
    <t>0.058 (0.012) </t>
  </si>
  <si>
    <t>0.069 (0.015) </t>
  </si>
  <si>
    <t>0.072 (0.016) </t>
  </si>
  <si>
    <t>0.060 (0.016) </t>
  </si>
  <si>
    <t>0.067 (0.009) </t>
  </si>
  <si>
    <t>0.134 (0.015) </t>
  </si>
  <si>
    <t>0.109 (0.018) </t>
  </si>
  <si>
    <t>0.067 (0.015) </t>
  </si>
  <si>
    <t>0.082 (0.014) </t>
  </si>
  <si>
    <t>0.037 (0.011) </t>
  </si>
  <si>
    <t>0.053 (0.011) </t>
  </si>
  <si>
    <t>0.061 (0.013) </t>
  </si>
  <si>
    <t>0.060 (0.011) </t>
  </si>
  <si>
    <t>0.048 (0.013) </t>
  </si>
  <si>
    <t>0.038 (0.011) </t>
  </si>
  <si>
    <t>0.055 (0.012) </t>
  </si>
  <si>
    <t>0.050 (0.014) </t>
  </si>
  <si>
    <t>0.025 (0.009) </t>
  </si>
  <si>
    <t>0.043 (0.012) </t>
  </si>
  <si>
    <t>0.048 (0.012) </t>
  </si>
  <si>
    <t>0.048 (0.014) </t>
  </si>
  <si>
    <t>0.042 (0.012) </t>
  </si>
  <si>
    <t>0.009 (0.014) </t>
  </si>
  <si>
    <t>0.006 (0.019) </t>
  </si>
  <si>
    <t>-0.006 (0.020) </t>
  </si>
  <si>
    <t>-0.019 (0.019) </t>
  </si>
  <si>
    <t>-0.020 (0.014) </t>
  </si>
  <si>
    <t>0.006 (0.014) </t>
  </si>
  <si>
    <t>0.000 (0.020) </t>
  </si>
  <si>
    <t>-0.012 (0.021) </t>
  </si>
  <si>
    <t>-0.020 (0.021) </t>
  </si>
  <si>
    <t>-0.018 (0.016) </t>
  </si>
  <si>
    <t>-0.001 (0.014) </t>
  </si>
  <si>
    <t>-0.004 (0.020) </t>
  </si>
  <si>
    <t>-0.008 (0.021) </t>
  </si>
  <si>
    <t>-0.007 (0.021) </t>
  </si>
  <si>
    <t>-0.005 (0.017)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</si>
</sst>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P31" sqref="P31"/>
    </sheetView>
  </sheetViews>
  <sheetFormatPr baseColWidth="10" defaultColWidth="8.83203125" defaultRowHeight="15" x14ac:dyDescent="0.2"/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>
        <v>0</v>
      </c>
      <c r="B2">
        <v>1.186871930252794E-2</v>
      </c>
      <c r="C2">
        <v>2.5539589525331811E-2</v>
      </c>
      <c r="D2">
        <v>2.5180633002903061E-2</v>
      </c>
      <c r="E2">
        <v>2.2237674250794141E-2</v>
      </c>
      <c r="F2">
        <v>1.8377440219624099E-2</v>
      </c>
      <c r="G2">
        <v>1.555103262169431E-2</v>
      </c>
      <c r="H2">
        <v>3.4675026786991733E-2</v>
      </c>
      <c r="I2">
        <v>3.4345309478869358E-2</v>
      </c>
      <c r="J2">
        <v>4.1558642743907831E-2</v>
      </c>
      <c r="K2">
        <v>3.0856766047959509E-2</v>
      </c>
      <c r="L2" t="s">
        <v>14</v>
      </c>
      <c r="M2" t="s">
        <v>15</v>
      </c>
      <c r="N2">
        <v>2.6019083398060382E-2</v>
      </c>
      <c r="O2">
        <v>9.3842186966724087E-3</v>
      </c>
    </row>
    <row r="3" spans="1:15" x14ac:dyDescent="0.2">
      <c r="A3" s="1">
        <v>1</v>
      </c>
      <c r="B3">
        <v>1.181126950396413E-2</v>
      </c>
      <c r="C3">
        <v>2.550256691835015E-2</v>
      </c>
      <c r="D3">
        <v>2.538396591015073E-2</v>
      </c>
      <c r="E3">
        <v>2.176314993756839E-2</v>
      </c>
      <c r="F3">
        <v>1.8377832378310768E-2</v>
      </c>
      <c r="G3">
        <v>1.551934813119398E-2</v>
      </c>
      <c r="H3">
        <v>3.4596122601929728E-2</v>
      </c>
      <c r="I3">
        <v>3.5823074354027679E-2</v>
      </c>
      <c r="J3">
        <v>4.021597078803852E-2</v>
      </c>
      <c r="K3">
        <v>3.114299287364615E-2</v>
      </c>
      <c r="L3" t="s">
        <v>14</v>
      </c>
      <c r="M3" t="s">
        <v>16</v>
      </c>
      <c r="N3" s="2">
        <v>2.6013629339718021E-2</v>
      </c>
      <c r="O3" s="2">
        <v>9.3497942292709042E-3</v>
      </c>
    </row>
    <row r="4" spans="1:15" x14ac:dyDescent="0.2">
      <c r="A4" s="1">
        <v>2</v>
      </c>
      <c r="B4">
        <v>1.20934562074688E-2</v>
      </c>
      <c r="C4">
        <v>2.5772578871547349E-2</v>
      </c>
      <c r="D4">
        <v>2.5849663387738461E-2</v>
      </c>
      <c r="E4">
        <v>2.1683298641668791E-2</v>
      </c>
      <c r="F4">
        <v>1.8409679965570361E-2</v>
      </c>
      <c r="G4">
        <v>1.6314236425702441E-2</v>
      </c>
      <c r="H4">
        <v>3.4815510509107833E-2</v>
      </c>
      <c r="I4">
        <v>3.7102219859337579E-2</v>
      </c>
      <c r="J4">
        <v>3.9267394086846499E-2</v>
      </c>
      <c r="K4">
        <v>3.112991107670959E-2</v>
      </c>
      <c r="L4" t="s">
        <v>14</v>
      </c>
      <c r="M4" t="s">
        <v>17</v>
      </c>
      <c r="N4" s="2">
        <v>2.6243794903169769E-2</v>
      </c>
      <c r="O4" s="2">
        <v>9.2270438981368174E-3</v>
      </c>
    </row>
    <row r="5" spans="1:15" x14ac:dyDescent="0.2">
      <c r="A5" s="1">
        <v>3</v>
      </c>
      <c r="B5">
        <v>-5.9072152462524949E-4</v>
      </c>
      <c r="C5">
        <v>-4.0379847203305744E-3</v>
      </c>
      <c r="D5">
        <v>-1.170174630385736E-3</v>
      </c>
      <c r="E5">
        <v>-7.5101604098845856E-3</v>
      </c>
      <c r="F5">
        <v>-4.6821242339581872E-3</v>
      </c>
      <c r="G5">
        <v>-1.0906462893139081E-2</v>
      </c>
      <c r="H5">
        <v>-2.092366363634807E-2</v>
      </c>
      <c r="I5">
        <v>-1.6110812043601569E-2</v>
      </c>
      <c r="J5">
        <v>-2.9975256463701808E-2</v>
      </c>
      <c r="K5">
        <v>-1.657356895691818E-2</v>
      </c>
      <c r="L5" t="s">
        <v>18</v>
      </c>
      <c r="M5" t="s">
        <v>15</v>
      </c>
      <c r="N5" s="2">
        <v>-1.12480929512893E-2</v>
      </c>
      <c r="O5" s="2">
        <v>9.5490576210312973E-3</v>
      </c>
    </row>
    <row r="6" spans="1:15" x14ac:dyDescent="0.2">
      <c r="A6" s="1">
        <v>4</v>
      </c>
      <c r="B6">
        <v>-1.2301425776306029E-3</v>
      </c>
      <c r="C6">
        <v>-3.570005305328001E-3</v>
      </c>
      <c r="D6">
        <v>-3.649106588771614E-3</v>
      </c>
      <c r="E6">
        <v>-5.5907902855450138E-3</v>
      </c>
      <c r="F6">
        <v>-4.3797230077179802E-3</v>
      </c>
      <c r="G6">
        <v>-1.098670564914641E-2</v>
      </c>
      <c r="H6">
        <v>-2.0909531707794381E-2</v>
      </c>
      <c r="I6">
        <v>-1.8807679517755901E-2</v>
      </c>
      <c r="J6">
        <v>-2.8174568974483581E-2</v>
      </c>
      <c r="K6">
        <v>-1.6771295558371771E-2</v>
      </c>
      <c r="L6" t="s">
        <v>18</v>
      </c>
      <c r="M6" t="s">
        <v>16</v>
      </c>
      <c r="N6" s="2">
        <v>-1.1406954917254519E-2</v>
      </c>
      <c r="O6" s="2">
        <v>9.2108305213852906E-3</v>
      </c>
    </row>
    <row r="7" spans="1:15" x14ac:dyDescent="0.2">
      <c r="A7" s="1">
        <v>5</v>
      </c>
      <c r="B7">
        <v>-2.273721188264714E-3</v>
      </c>
      <c r="C7">
        <v>-3.7639581605321869E-3</v>
      </c>
      <c r="D7">
        <v>-5.3030401626065829E-3</v>
      </c>
      <c r="E7">
        <v>-4.4863477605091486E-3</v>
      </c>
      <c r="F7">
        <v>-4.0378888234398674E-3</v>
      </c>
      <c r="G7">
        <v>-1.1998721188264829E-2</v>
      </c>
      <c r="H7">
        <v>-2.09198889563437E-2</v>
      </c>
      <c r="I7">
        <v>-2.093596566111287E-2</v>
      </c>
      <c r="J7">
        <v>-2.63400359098044E-2</v>
      </c>
      <c r="K7">
        <v>-1.591414684935363E-2</v>
      </c>
      <c r="L7" t="s">
        <v>18</v>
      </c>
      <c r="M7" t="s">
        <v>17</v>
      </c>
      <c r="N7" s="2">
        <v>-1.1597371466023189E-2</v>
      </c>
      <c r="O7" s="2">
        <v>8.8561612021559877E-3</v>
      </c>
    </row>
    <row r="8" spans="1:15" x14ac:dyDescent="0.2">
      <c r="A8" s="1">
        <v>6</v>
      </c>
      <c r="B8">
        <v>0.99</v>
      </c>
      <c r="C8">
        <v>0.95</v>
      </c>
      <c r="D8">
        <v>0.97</v>
      </c>
      <c r="E8">
        <v>0.96</v>
      </c>
      <c r="F8">
        <v>0.96</v>
      </c>
      <c r="G8">
        <v>0.89</v>
      </c>
      <c r="H8">
        <v>0.82</v>
      </c>
      <c r="I8">
        <v>0.89</v>
      </c>
      <c r="J8">
        <v>0.82</v>
      </c>
      <c r="K8">
        <v>0.85</v>
      </c>
      <c r="L8" t="s">
        <v>19</v>
      </c>
      <c r="M8" t="s">
        <v>15</v>
      </c>
      <c r="N8" s="2">
        <v>0.90999999999999992</v>
      </c>
      <c r="O8" s="2">
        <v>6.4291005073286361E-2</v>
      </c>
    </row>
    <row r="9" spans="1:15" x14ac:dyDescent="0.2">
      <c r="A9" s="1">
        <v>7</v>
      </c>
      <c r="B9">
        <v>0.99</v>
      </c>
      <c r="C9">
        <v>0.92</v>
      </c>
      <c r="D9">
        <v>0.95</v>
      </c>
      <c r="E9">
        <v>0.95</v>
      </c>
      <c r="F9">
        <v>0.93</v>
      </c>
      <c r="G9">
        <v>0.88</v>
      </c>
      <c r="H9">
        <v>0.84</v>
      </c>
      <c r="I9">
        <v>0.92</v>
      </c>
      <c r="J9">
        <v>0.84</v>
      </c>
      <c r="K9">
        <v>0.92</v>
      </c>
      <c r="L9" t="s">
        <v>19</v>
      </c>
      <c r="M9" t="s">
        <v>16</v>
      </c>
      <c r="N9" s="2">
        <v>0.91400000000000003</v>
      </c>
      <c r="O9" s="2">
        <v>4.8120219820316237E-2</v>
      </c>
    </row>
    <row r="10" spans="1:15" x14ac:dyDescent="0.2">
      <c r="A10" s="1">
        <v>8</v>
      </c>
      <c r="B10">
        <v>0.99</v>
      </c>
      <c r="C10">
        <v>0.93</v>
      </c>
      <c r="D10">
        <v>0.95</v>
      </c>
      <c r="E10">
        <v>0.98</v>
      </c>
      <c r="F10">
        <v>0.95</v>
      </c>
      <c r="G10">
        <v>0.91</v>
      </c>
      <c r="H10">
        <v>0.88</v>
      </c>
      <c r="I10">
        <v>0.91</v>
      </c>
      <c r="J10">
        <v>0.84</v>
      </c>
      <c r="K10">
        <v>0.92</v>
      </c>
      <c r="L10" t="s">
        <v>19</v>
      </c>
      <c r="M10" t="s">
        <v>17</v>
      </c>
      <c r="N10" s="2">
        <v>0.92599999999999993</v>
      </c>
      <c r="O10" s="2">
        <v>4.5018514709691017E-2</v>
      </c>
    </row>
    <row r="11" spans="1:15" x14ac:dyDescent="0.2">
      <c r="A11" s="1">
        <v>9</v>
      </c>
      <c r="B11">
        <v>6.0350297230038041E-2</v>
      </c>
      <c r="C11">
        <v>0.1119390428043955</v>
      </c>
      <c r="D11">
        <v>0.1207079682912553</v>
      </c>
      <c r="E11">
        <v>0.1019401244119035</v>
      </c>
      <c r="F11">
        <v>8.0600764262364233E-2</v>
      </c>
      <c r="G11">
        <v>4.9872140656113902E-2</v>
      </c>
      <c r="H11">
        <v>0.105991320274128</v>
      </c>
      <c r="I11">
        <v>0.1228973733079583</v>
      </c>
      <c r="J11">
        <v>0.11482429472846151</v>
      </c>
      <c r="K11">
        <v>9.8053770872019205E-2</v>
      </c>
      <c r="L11" t="s">
        <v>20</v>
      </c>
      <c r="M11" t="s">
        <v>15</v>
      </c>
      <c r="N11" s="2">
        <v>9.6717709683863756E-2</v>
      </c>
      <c r="O11" s="2">
        <v>2.519337475469309E-2</v>
      </c>
    </row>
    <row r="12" spans="1:15" x14ac:dyDescent="0.2">
      <c r="A12" s="1">
        <v>10</v>
      </c>
      <c r="B12">
        <v>5.075385870923492E-2</v>
      </c>
      <c r="C12">
        <v>9.0642140738721275E-2</v>
      </c>
      <c r="D12">
        <v>0.10007709248238369</v>
      </c>
      <c r="E12">
        <v>8.5695961882491178E-2</v>
      </c>
      <c r="F12">
        <v>6.8393706039251934E-2</v>
      </c>
      <c r="G12">
        <v>4.7256339151105289E-2</v>
      </c>
      <c r="H12">
        <v>0.1002110035360961</v>
      </c>
      <c r="I12">
        <v>0.1196044556917788</v>
      </c>
      <c r="J12">
        <v>0.1136428867374638</v>
      </c>
      <c r="K12">
        <v>9.8516408060453114E-2</v>
      </c>
      <c r="L12" t="s">
        <v>20</v>
      </c>
      <c r="M12" t="s">
        <v>16</v>
      </c>
      <c r="N12" s="2">
        <v>8.7479385302898019E-2</v>
      </c>
      <c r="O12" s="2">
        <v>2.47279995921919E-2</v>
      </c>
    </row>
    <row r="13" spans="1:15" x14ac:dyDescent="0.2">
      <c r="A13" s="1">
        <v>11</v>
      </c>
      <c r="B13">
        <v>5.1809966881454332E-2</v>
      </c>
      <c r="C13">
        <v>9.209514577867299E-2</v>
      </c>
      <c r="D13">
        <v>0.1013151804677002</v>
      </c>
      <c r="E13">
        <v>8.678425042053764E-2</v>
      </c>
      <c r="F13">
        <v>6.9023439680782325E-2</v>
      </c>
      <c r="G13">
        <v>4.8646777378022477E-2</v>
      </c>
      <c r="H13">
        <v>0.1021506265703591</v>
      </c>
      <c r="I13">
        <v>0.12135368634023939</v>
      </c>
      <c r="J13">
        <v>0.1152695146990608</v>
      </c>
      <c r="K13">
        <v>0.10036619476058389</v>
      </c>
      <c r="L13" t="s">
        <v>20</v>
      </c>
      <c r="M13" t="s">
        <v>17</v>
      </c>
      <c r="N13" s="2">
        <v>8.8881478297741318E-2</v>
      </c>
      <c r="O13" s="2">
        <v>2.4978956823657139E-2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9B74-7AEA-FC4C-A871-E7FE94DE7347}">
  <dimension ref="C7:P46"/>
  <sheetViews>
    <sheetView topLeftCell="A14" workbookViewId="0">
      <selection activeCell="J26" sqref="J26"/>
    </sheetView>
  </sheetViews>
  <sheetFormatPr baseColWidth="10" defaultRowHeight="15" x14ac:dyDescent="0.2"/>
  <sheetData>
    <row r="7" spans="3:7" x14ac:dyDescent="0.2"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</row>
    <row r="8" spans="3:7" x14ac:dyDescent="0.2"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3:7" x14ac:dyDescent="0.2"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</row>
    <row r="10" spans="3:7" x14ac:dyDescent="0.2"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</row>
    <row r="11" spans="3:7" x14ac:dyDescent="0.2">
      <c r="C11" s="3" t="s">
        <v>41</v>
      </c>
      <c r="D11" s="3" t="s">
        <v>42</v>
      </c>
      <c r="E11" s="3" t="s">
        <v>38</v>
      </c>
      <c r="F11" s="3" t="s">
        <v>38</v>
      </c>
      <c r="G11" s="3" t="s">
        <v>43</v>
      </c>
    </row>
    <row r="12" spans="3:7" x14ac:dyDescent="0.2"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</row>
    <row r="18" spans="3:16" x14ac:dyDescent="0.2"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</row>
    <row r="19" spans="3:16" x14ac:dyDescent="0.2">
      <c r="C19" s="3" t="s">
        <v>26</v>
      </c>
      <c r="D19" s="3" t="s">
        <v>27</v>
      </c>
      <c r="E19" s="3" t="s">
        <v>28</v>
      </c>
      <c r="F19" s="3" t="s">
        <v>29</v>
      </c>
      <c r="G19" s="3" t="s">
        <v>30</v>
      </c>
    </row>
    <row r="20" spans="3:16" x14ac:dyDescent="0.2"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</row>
    <row r="21" spans="3:16" x14ac:dyDescent="0.2">
      <c r="C21" s="3" t="s">
        <v>36</v>
      </c>
      <c r="D21" s="3" t="s">
        <v>37</v>
      </c>
      <c r="E21" s="3" t="s">
        <v>38</v>
      </c>
      <c r="F21" s="3" t="s">
        <v>39</v>
      </c>
      <c r="G21" s="3" t="s">
        <v>40</v>
      </c>
    </row>
    <row r="22" spans="3:16" x14ac:dyDescent="0.2">
      <c r="C22" s="3" t="s">
        <v>41</v>
      </c>
      <c r="D22" s="3" t="s">
        <v>42</v>
      </c>
      <c r="E22" s="3" t="s">
        <v>38</v>
      </c>
      <c r="F22" s="3" t="s">
        <v>38</v>
      </c>
      <c r="G22" s="3" t="s">
        <v>43</v>
      </c>
    </row>
    <row r="23" spans="3:16" x14ac:dyDescent="0.2">
      <c r="C23" s="3" t="s">
        <v>44</v>
      </c>
      <c r="D23" s="3" t="s">
        <v>45</v>
      </c>
      <c r="E23" s="3" t="s">
        <v>46</v>
      </c>
      <c r="F23" s="3" t="s">
        <v>47</v>
      </c>
      <c r="G23" s="3" t="s">
        <v>48</v>
      </c>
    </row>
    <row r="25" spans="3:16" x14ac:dyDescent="0.2">
      <c r="C25" t="str">
        <f>LEFT(C18,5)</f>
        <v>0.038</v>
      </c>
      <c r="D25" t="str">
        <f t="shared" ref="D25:G25" si="0">LEFT(D18,5)</f>
        <v>0.066</v>
      </c>
      <c r="E25" t="str">
        <f t="shared" si="0"/>
        <v>0.070</v>
      </c>
      <c r="F25" t="str">
        <f t="shared" si="0"/>
        <v>0.068</v>
      </c>
      <c r="G25" t="str">
        <f t="shared" si="0"/>
        <v>0.065</v>
      </c>
      <c r="I25">
        <v>3.7999999999999999E-2</v>
      </c>
      <c r="J25">
        <v>6.6000000000000003E-2</v>
      </c>
      <c r="K25">
        <v>7.0000000000000007E-2</v>
      </c>
      <c r="L25">
        <v>6.8000000000000005E-2</v>
      </c>
      <c r="M25">
        <v>6.5000000000000002E-2</v>
      </c>
      <c r="O25">
        <f>AVERAGE(I25:M25)</f>
        <v>6.140000000000001E-2</v>
      </c>
      <c r="P25">
        <f>STDEV(I25:M25)</f>
        <v>1.3221195104830667E-2</v>
      </c>
    </row>
    <row r="26" spans="3:16" x14ac:dyDescent="0.2">
      <c r="C26" t="str">
        <f t="shared" ref="C26:G26" si="1">LEFT(C19,5)</f>
        <v>0.038</v>
      </c>
      <c r="D26" t="str">
        <f t="shared" si="1"/>
        <v>0.058</v>
      </c>
      <c r="E26" t="str">
        <f t="shared" si="1"/>
        <v>0.069</v>
      </c>
      <c r="F26" t="str">
        <f t="shared" si="1"/>
        <v>0.072</v>
      </c>
      <c r="G26" t="str">
        <f t="shared" si="1"/>
        <v>0.060</v>
      </c>
      <c r="I26">
        <v>3.7999999999999999E-2</v>
      </c>
      <c r="J26">
        <v>5.8000000000000003E-2</v>
      </c>
      <c r="K26">
        <v>6.9000000000000006E-2</v>
      </c>
      <c r="L26">
        <v>7.1999999999999995E-2</v>
      </c>
      <c r="M26">
        <v>0.06</v>
      </c>
      <c r="O26">
        <f t="shared" ref="O26:O30" si="2">AVERAGE(I26:M26)</f>
        <v>5.9399999999999994E-2</v>
      </c>
      <c r="P26">
        <f t="shared" ref="P26:P30" si="3">STDEV(I26:M26)</f>
        <v>1.3334166640626647E-2</v>
      </c>
    </row>
    <row r="27" spans="3:16" x14ac:dyDescent="0.2">
      <c r="C27" t="str">
        <f t="shared" ref="C27:G27" si="4">LEFT(C20,5)</f>
        <v>0.067</v>
      </c>
      <c r="D27" t="str">
        <f t="shared" si="4"/>
        <v>0.134</v>
      </c>
      <c r="E27" t="str">
        <f t="shared" si="4"/>
        <v>0.109</v>
      </c>
      <c r="F27" t="str">
        <f t="shared" si="4"/>
        <v>0.067</v>
      </c>
      <c r="G27" t="str">
        <f t="shared" si="4"/>
        <v>0.082</v>
      </c>
      <c r="I27">
        <v>6.7000000000000004E-2</v>
      </c>
      <c r="J27">
        <v>0.13400000000000001</v>
      </c>
      <c r="K27">
        <v>0.109</v>
      </c>
      <c r="L27">
        <v>6.7000000000000004E-2</v>
      </c>
      <c r="M27">
        <v>8.2000000000000003E-2</v>
      </c>
      <c r="O27">
        <f t="shared" si="2"/>
        <v>9.1800000000000007E-2</v>
      </c>
      <c r="P27">
        <f t="shared" si="3"/>
        <v>2.9166761904606434E-2</v>
      </c>
    </row>
    <row r="28" spans="3:16" x14ac:dyDescent="0.2">
      <c r="C28" t="str">
        <f t="shared" ref="C28:G28" si="5">LEFT(C21,5)</f>
        <v>0.037</v>
      </c>
      <c r="D28" t="str">
        <f t="shared" si="5"/>
        <v>0.053</v>
      </c>
      <c r="E28" t="str">
        <f t="shared" si="5"/>
        <v>0.061</v>
      </c>
      <c r="F28" t="str">
        <f t="shared" si="5"/>
        <v>0.060</v>
      </c>
      <c r="G28" t="str">
        <f t="shared" si="5"/>
        <v>0.048</v>
      </c>
      <c r="I28">
        <v>3.6999999999999998E-2</v>
      </c>
      <c r="J28">
        <v>5.2999999999999999E-2</v>
      </c>
      <c r="K28">
        <v>6.0999999999999999E-2</v>
      </c>
      <c r="L28">
        <v>0.06</v>
      </c>
      <c r="M28">
        <v>4.8000000000000001E-2</v>
      </c>
      <c r="O28">
        <f t="shared" si="2"/>
        <v>5.1799999999999999E-2</v>
      </c>
      <c r="P28">
        <f t="shared" si="3"/>
        <v>9.8336158151516133E-3</v>
      </c>
    </row>
    <row r="29" spans="3:16" x14ac:dyDescent="0.2">
      <c r="C29" t="str">
        <f t="shared" ref="C29:G29" si="6">LEFT(C22,5)</f>
        <v>0.038</v>
      </c>
      <c r="D29" t="str">
        <f t="shared" si="6"/>
        <v>0.055</v>
      </c>
      <c r="E29" t="str">
        <f t="shared" si="6"/>
        <v>0.061</v>
      </c>
      <c r="F29" t="str">
        <f t="shared" si="6"/>
        <v>0.061</v>
      </c>
      <c r="G29" t="str">
        <f t="shared" si="6"/>
        <v>0.050</v>
      </c>
      <c r="I29">
        <v>3.7999999999999999E-2</v>
      </c>
      <c r="J29">
        <v>5.5E-2</v>
      </c>
      <c r="K29">
        <v>6.0999999999999999E-2</v>
      </c>
      <c r="L29">
        <v>6.0999999999999999E-2</v>
      </c>
      <c r="M29">
        <v>0.05</v>
      </c>
      <c r="O29">
        <f t="shared" si="2"/>
        <v>5.3000000000000005E-2</v>
      </c>
      <c r="P29">
        <f t="shared" si="3"/>
        <v>9.5655632348544736E-3</v>
      </c>
    </row>
    <row r="30" spans="3:16" x14ac:dyDescent="0.2">
      <c r="C30" t="str">
        <f t="shared" ref="C30:G30" si="7">LEFT(C23,5)</f>
        <v>0.025</v>
      </c>
      <c r="D30" t="str">
        <f t="shared" si="7"/>
        <v>0.043</v>
      </c>
      <c r="E30" t="str">
        <f t="shared" si="7"/>
        <v>0.048</v>
      </c>
      <c r="F30" t="str">
        <f t="shared" si="7"/>
        <v>0.048</v>
      </c>
      <c r="G30" t="str">
        <f t="shared" si="7"/>
        <v>0.042</v>
      </c>
      <c r="I30">
        <v>2.5000000000000001E-2</v>
      </c>
      <c r="J30">
        <v>4.2999999999999997E-2</v>
      </c>
      <c r="K30">
        <v>4.8000000000000001E-2</v>
      </c>
      <c r="L30">
        <v>4.8000000000000001E-2</v>
      </c>
      <c r="M30">
        <v>4.2000000000000003E-2</v>
      </c>
      <c r="O30">
        <f t="shared" si="2"/>
        <v>4.1200000000000001E-2</v>
      </c>
      <c r="P30">
        <f t="shared" si="3"/>
        <v>9.471008394041228E-3</v>
      </c>
    </row>
    <row r="31" spans="3:16" x14ac:dyDescent="0.2">
      <c r="C31" t="str">
        <f t="shared" ref="C31:G31" si="8">LEFT(C24,5)</f>
        <v/>
      </c>
      <c r="D31" t="str">
        <f t="shared" si="8"/>
        <v/>
      </c>
      <c r="E31" t="str">
        <f t="shared" si="8"/>
        <v/>
      </c>
      <c r="F31" t="str">
        <f t="shared" si="8"/>
        <v/>
      </c>
      <c r="G31" t="str">
        <f t="shared" si="8"/>
        <v/>
      </c>
    </row>
    <row r="33" spans="3:16" x14ac:dyDescent="0.2">
      <c r="C33" s="3" t="s">
        <v>36</v>
      </c>
      <c r="D33" s="3" t="s">
        <v>37</v>
      </c>
      <c r="E33" s="3" t="s">
        <v>38</v>
      </c>
      <c r="F33" s="3" t="s">
        <v>39</v>
      </c>
      <c r="G33" s="3" t="s">
        <v>40</v>
      </c>
    </row>
    <row r="34" spans="3:16" x14ac:dyDescent="0.2">
      <c r="C34" s="3" t="s">
        <v>41</v>
      </c>
      <c r="D34" s="3" t="s">
        <v>42</v>
      </c>
      <c r="E34" s="3" t="s">
        <v>38</v>
      </c>
      <c r="F34" s="3" t="s">
        <v>38</v>
      </c>
      <c r="G34" s="3" t="s">
        <v>43</v>
      </c>
    </row>
    <row r="35" spans="3:16" x14ac:dyDescent="0.2">
      <c r="C35" s="3" t="s">
        <v>44</v>
      </c>
      <c r="D35" s="3" t="s">
        <v>45</v>
      </c>
      <c r="E35" s="3" t="s">
        <v>46</v>
      </c>
      <c r="F35" s="3" t="s">
        <v>47</v>
      </c>
      <c r="G35" s="3" t="s">
        <v>48</v>
      </c>
    </row>
    <row r="36" spans="3:16" x14ac:dyDescent="0.2">
      <c r="C36" s="3" t="s">
        <v>49</v>
      </c>
      <c r="D36" s="3" t="s">
        <v>50</v>
      </c>
      <c r="E36" s="3" t="s">
        <v>51</v>
      </c>
      <c r="F36" s="3" t="s">
        <v>52</v>
      </c>
      <c r="G36" s="3" t="s">
        <v>53</v>
      </c>
    </row>
    <row r="37" spans="3:16" x14ac:dyDescent="0.2">
      <c r="C37" s="3" t="s">
        <v>54</v>
      </c>
      <c r="D37" s="3" t="s">
        <v>55</v>
      </c>
      <c r="E37" s="3" t="s">
        <v>56</v>
      </c>
      <c r="F37" s="3" t="s">
        <v>57</v>
      </c>
      <c r="G37" s="3" t="s">
        <v>58</v>
      </c>
    </row>
    <row r="38" spans="3:16" x14ac:dyDescent="0.2">
      <c r="C38" s="3" t="s">
        <v>59</v>
      </c>
      <c r="D38" s="3" t="s">
        <v>60</v>
      </c>
      <c r="E38" s="3" t="s">
        <v>61</v>
      </c>
      <c r="F38" s="3" t="s">
        <v>62</v>
      </c>
      <c r="G38" s="3" t="s">
        <v>63</v>
      </c>
    </row>
    <row r="40" spans="3:16" x14ac:dyDescent="0.2">
      <c r="C40" t="str">
        <f>LEFT(C33,5)</f>
        <v>0.037</v>
      </c>
      <c r="D40" t="str">
        <f t="shared" ref="D40:G40" si="9">LEFT(D33,5)</f>
        <v>0.053</v>
      </c>
      <c r="E40" t="str">
        <f t="shared" si="9"/>
        <v>0.061</v>
      </c>
      <c r="F40" t="str">
        <f t="shared" si="9"/>
        <v>0.060</v>
      </c>
      <c r="G40" t="str">
        <f t="shared" si="9"/>
        <v>0.048</v>
      </c>
      <c r="I40">
        <v>3.6999999999999998E-2</v>
      </c>
      <c r="J40">
        <v>5.2999999999999999E-2</v>
      </c>
      <c r="K40">
        <v>6.0999999999999999E-2</v>
      </c>
      <c r="L40">
        <v>0.06</v>
      </c>
      <c r="M40">
        <v>4.8000000000000001E-2</v>
      </c>
      <c r="O40">
        <f>AVERAGE(I40:M40)</f>
        <v>5.1799999999999999E-2</v>
      </c>
      <c r="P40">
        <f>STDEV(I40:M40)</f>
        <v>9.8336158151516133E-3</v>
      </c>
    </row>
    <row r="41" spans="3:16" x14ac:dyDescent="0.2">
      <c r="C41" t="str">
        <f t="shared" ref="C41:G41" si="10">LEFT(C34,5)</f>
        <v>0.038</v>
      </c>
      <c r="D41" t="str">
        <f t="shared" si="10"/>
        <v>0.055</v>
      </c>
      <c r="E41" t="str">
        <f t="shared" si="10"/>
        <v>0.061</v>
      </c>
      <c r="F41" t="str">
        <f t="shared" si="10"/>
        <v>0.061</v>
      </c>
      <c r="G41" t="str">
        <f t="shared" si="10"/>
        <v>0.050</v>
      </c>
      <c r="I41">
        <v>3.7999999999999999E-2</v>
      </c>
      <c r="J41">
        <v>5.5E-2</v>
      </c>
      <c r="K41">
        <v>6.0999999999999999E-2</v>
      </c>
      <c r="L41">
        <v>6.0999999999999999E-2</v>
      </c>
      <c r="M41">
        <v>0.05</v>
      </c>
      <c r="O41">
        <f t="shared" ref="O41:O45" si="11">AVERAGE(I41:M41)</f>
        <v>5.3000000000000005E-2</v>
      </c>
      <c r="P41">
        <f t="shared" ref="P41:P45" si="12">STDEV(I41:M41)</f>
        <v>9.5655632348544736E-3</v>
      </c>
    </row>
    <row r="42" spans="3:16" x14ac:dyDescent="0.2">
      <c r="C42" t="str">
        <f t="shared" ref="C42:G42" si="13">LEFT(C35,5)</f>
        <v>0.025</v>
      </c>
      <c r="D42" t="str">
        <f t="shared" si="13"/>
        <v>0.043</v>
      </c>
      <c r="E42" t="str">
        <f t="shared" si="13"/>
        <v>0.048</v>
      </c>
      <c r="F42" t="str">
        <f t="shared" si="13"/>
        <v>0.048</v>
      </c>
      <c r="G42" t="str">
        <f t="shared" si="13"/>
        <v>0.042</v>
      </c>
      <c r="I42">
        <v>2.5000000000000001E-2</v>
      </c>
      <c r="J42">
        <v>4.2999999999999997E-2</v>
      </c>
      <c r="K42">
        <v>4.8000000000000001E-2</v>
      </c>
      <c r="L42">
        <v>4.8000000000000001E-2</v>
      </c>
      <c r="M42">
        <v>4.2000000000000003E-2</v>
      </c>
      <c r="O42">
        <f t="shared" si="11"/>
        <v>4.1200000000000001E-2</v>
      </c>
      <c r="P42">
        <f t="shared" si="12"/>
        <v>9.471008394041228E-3</v>
      </c>
    </row>
    <row r="43" spans="3:16" x14ac:dyDescent="0.2">
      <c r="C43" t="str">
        <f t="shared" ref="C43:G43" si="14">LEFT(C36,5)</f>
        <v>0.009</v>
      </c>
      <c r="D43" t="str">
        <f t="shared" si="14"/>
        <v>0.006</v>
      </c>
      <c r="E43" t="str">
        <f t="shared" si="14"/>
        <v>-0.00</v>
      </c>
      <c r="F43" t="str">
        <f t="shared" si="14"/>
        <v>-0.01</v>
      </c>
      <c r="G43" t="str">
        <f t="shared" si="14"/>
        <v>-0.02</v>
      </c>
      <c r="I43">
        <v>8.9999999999999993E-3</v>
      </c>
      <c r="J43">
        <v>6.0000000000000001E-3</v>
      </c>
      <c r="K43">
        <v>0</v>
      </c>
      <c r="L43">
        <v>-0.01</v>
      </c>
      <c r="M43">
        <v>-0.02</v>
      </c>
      <c r="O43">
        <f t="shared" si="11"/>
        <v>-3.0000000000000001E-3</v>
      </c>
      <c r="P43">
        <f t="shared" si="12"/>
        <v>1.1958260743101398E-2</v>
      </c>
    </row>
    <row r="44" spans="3:16" x14ac:dyDescent="0.2">
      <c r="C44" t="str">
        <f t="shared" ref="C44:G44" si="15">LEFT(C37,5)</f>
        <v>0.006</v>
      </c>
      <c r="D44" t="str">
        <f t="shared" si="15"/>
        <v>0.000</v>
      </c>
      <c r="E44" t="str">
        <f t="shared" si="15"/>
        <v>-0.01</v>
      </c>
      <c r="F44" t="str">
        <f t="shared" si="15"/>
        <v>-0.02</v>
      </c>
      <c r="G44" t="str">
        <f t="shared" si="15"/>
        <v>-0.01</v>
      </c>
      <c r="I44">
        <v>6.0000000000000001E-3</v>
      </c>
      <c r="J44">
        <v>0</v>
      </c>
      <c r="K44">
        <v>-0.01</v>
      </c>
      <c r="L44">
        <v>-0.02</v>
      </c>
      <c r="M44">
        <v>-0.01</v>
      </c>
      <c r="O44">
        <f t="shared" si="11"/>
        <v>-6.8000000000000005E-3</v>
      </c>
      <c r="P44">
        <f t="shared" si="12"/>
        <v>1.0059821071967434E-2</v>
      </c>
    </row>
    <row r="45" spans="3:16" x14ac:dyDescent="0.2">
      <c r="C45" t="str">
        <f>LEFT(C38,5)</f>
        <v>-0.00</v>
      </c>
      <c r="D45" t="str">
        <f t="shared" ref="D45:G45" si="16">LEFT(D38,5)</f>
        <v>-0.00</v>
      </c>
      <c r="E45" t="str">
        <f t="shared" si="16"/>
        <v>-0.00</v>
      </c>
      <c r="F45" t="str">
        <f t="shared" si="16"/>
        <v>-0.00</v>
      </c>
      <c r="G45" t="str">
        <f t="shared" si="16"/>
        <v>-0.00</v>
      </c>
      <c r="I45">
        <v>0</v>
      </c>
      <c r="J45">
        <v>0</v>
      </c>
      <c r="K45">
        <v>0</v>
      </c>
      <c r="L45">
        <v>0</v>
      </c>
      <c r="M45">
        <v>0</v>
      </c>
      <c r="O45">
        <f t="shared" si="11"/>
        <v>0</v>
      </c>
      <c r="P45">
        <f t="shared" si="12"/>
        <v>0</v>
      </c>
    </row>
    <row r="46" spans="3:16" x14ac:dyDescent="0.2">
      <c r="C46" t="str">
        <f t="shared" ref="C46:G46" si="17">LEFT(C39,5)</f>
        <v/>
      </c>
      <c r="D46" t="str">
        <f t="shared" si="17"/>
        <v/>
      </c>
      <c r="E46" t="str">
        <f t="shared" si="17"/>
        <v/>
      </c>
      <c r="F46" t="str">
        <f t="shared" si="17"/>
        <v/>
      </c>
      <c r="G46" t="str">
        <f t="shared" si="1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Tiegs, Jacob</cp:lastModifiedBy>
  <dcterms:created xsi:type="dcterms:W3CDTF">2025-02-24T19:27:49Z</dcterms:created>
  <dcterms:modified xsi:type="dcterms:W3CDTF">2025-03-17T17:37:29Z</dcterms:modified>
</cp:coreProperties>
</file>