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acobtiegs/projects/bart_paper/bart_survival_paper/"/>
    </mc:Choice>
  </mc:AlternateContent>
  <xr:revisionPtr revIDLastSave="0" documentId="13_ncr:1_{B438F517-975D-A341-A7D1-874611E698EA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C5" i="1"/>
  <c r="K50" i="1" l="1"/>
  <c r="L50" i="1"/>
  <c r="M50" i="1"/>
  <c r="N50" i="1"/>
  <c r="K51" i="1"/>
  <c r="L51" i="1"/>
  <c r="M51" i="1"/>
  <c r="N51" i="1"/>
  <c r="K52" i="1"/>
  <c r="L52" i="1"/>
  <c r="M52" i="1"/>
  <c r="N52" i="1"/>
  <c r="J51" i="1"/>
  <c r="J52" i="1"/>
  <c r="J50" i="1"/>
  <c r="K49" i="1"/>
  <c r="L49" i="1"/>
  <c r="M49" i="1"/>
  <c r="N49" i="1"/>
  <c r="J49" i="1"/>
  <c r="E50" i="1"/>
  <c r="F50" i="1"/>
  <c r="G50" i="1"/>
  <c r="H50" i="1"/>
  <c r="E51" i="1"/>
  <c r="F51" i="1"/>
  <c r="G51" i="1"/>
  <c r="H51" i="1"/>
  <c r="E52" i="1"/>
  <c r="F52" i="1"/>
  <c r="G52" i="1"/>
  <c r="H52" i="1"/>
  <c r="D51" i="1"/>
  <c r="D52" i="1"/>
  <c r="D50" i="1"/>
</calcChain>
</file>

<file path=xl/sharedStrings.xml><?xml version="1.0" encoding="utf-8"?>
<sst xmlns="http://schemas.openxmlformats.org/spreadsheetml/2006/main" count="38" uniqueCount="24">
  <si>
    <t>Unnamed: 0</t>
  </si>
  <si>
    <t>p_rmse</t>
  </si>
  <si>
    <t>r_rmse</t>
  </si>
  <si>
    <t>c_rmse</t>
  </si>
  <si>
    <t>p_bias</t>
  </si>
  <si>
    <t>r_bias</t>
  </si>
  <si>
    <t>c_bias</t>
  </si>
  <si>
    <t>p_mabs</t>
  </si>
  <si>
    <t>r_mabs</t>
  </si>
  <si>
    <t>c_mabs</t>
  </si>
  <si>
    <t>p_rsq</t>
  </si>
  <si>
    <t>r_rsq</t>
  </si>
  <si>
    <t>c_rsq</t>
  </si>
  <si>
    <t>seed</t>
  </si>
  <si>
    <t>n</t>
  </si>
  <si>
    <t>RMSE</t>
  </si>
  <si>
    <t>r-BART</t>
  </si>
  <si>
    <t>p-BART</t>
  </si>
  <si>
    <t>CPHM</t>
  </si>
  <si>
    <t>bias</t>
  </si>
  <si>
    <t>N=400</t>
  </si>
  <si>
    <t>N=1000</t>
  </si>
  <si>
    <t>N=4000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</si>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</sst>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0" applyNumberFormat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70" fontId="2" fillId="0" borderId="2" xfId="0" applyNumberFormat="1" applyFont="1" applyBorder="1" applyAlignment="1">
      <alignment vertical="center"/>
    </xf>
    <xf numFmtId="170" fontId="2" fillId="0" borderId="3" xfId="0" applyNumberFormat="1" applyFont="1" applyBorder="1" applyAlignment="1">
      <alignment vertical="center"/>
    </xf>
    <xf numFmtId="170" fontId="2" fillId="0" borderId="4" xfId="0" applyNumberFormat="1" applyFont="1" applyBorder="1" applyAlignment="1">
      <alignment vertical="center"/>
    </xf>
    <xf numFmtId="170" fontId="2" fillId="0" borderId="5" xfId="0" applyNumberFormat="1" applyFont="1" applyBorder="1" applyAlignment="1">
      <alignment vertical="center"/>
    </xf>
    <xf numFmtId="17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activeCell="L12" sqref="L12"/>
    </sheetView>
  </sheetViews>
  <sheetFormatPr baseColWidth="10" defaultColWidth="8.83203125" defaultRowHeight="15" x14ac:dyDescent="0.2"/>
  <cols>
    <col min="2" max="2" width="31.33203125" customWidth="1"/>
    <col min="3" max="6" width="10.6640625" bestFit="1" customWidth="1"/>
    <col min="7" max="7" width="11.1640625" bestFit="1" customWidth="1"/>
    <col min="8" max="8" width="10.6640625" bestFit="1" customWidth="1"/>
  </cols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>
        <v>400</v>
      </c>
      <c r="B2">
        <v>5</v>
      </c>
      <c r="C2">
        <v>6.2059398588445537E-2</v>
      </c>
      <c r="D2">
        <v>6.6699319441003116E-2</v>
      </c>
      <c r="E2">
        <v>5.6519495450545597E-2</v>
      </c>
      <c r="F2">
        <v>-7.2473614570151123E-3</v>
      </c>
      <c r="G2">
        <v>-6.9655203114744654E-3</v>
      </c>
      <c r="H2">
        <v>-1.5052203908260081E-3</v>
      </c>
      <c r="I2">
        <v>4.125498563198525E-2</v>
      </c>
      <c r="J2">
        <v>3.7181835232456988E-2</v>
      </c>
      <c r="K2">
        <v>2.8066508259241861E-2</v>
      </c>
      <c r="L2">
        <v>-0.74083963853085399</v>
      </c>
      <c r="M2">
        <v>-0.49721446517380558</v>
      </c>
      <c r="N2">
        <v>-4.3069340458105822E-2</v>
      </c>
      <c r="O2">
        <v>35360</v>
      </c>
      <c r="P2">
        <v>400</v>
      </c>
    </row>
    <row r="3" spans="1:16" x14ac:dyDescent="0.2">
      <c r="A3" s="1">
        <v>1000</v>
      </c>
      <c r="B3">
        <v>5</v>
      </c>
      <c r="C3">
        <v>4.7895526664642432E-2</v>
      </c>
      <c r="D3">
        <v>4.6479855936181882E-2</v>
      </c>
      <c r="E3">
        <v>4.6824765993604189E-2</v>
      </c>
      <c r="F3">
        <v>-7.5925126667607508E-3</v>
      </c>
      <c r="G3">
        <v>-4.6544695412844119E-3</v>
      </c>
      <c r="H3">
        <v>-1.946116320152626E-4</v>
      </c>
      <c r="I3">
        <v>3.26631210775188E-2</v>
      </c>
      <c r="J3">
        <v>2.486621540746126E-2</v>
      </c>
      <c r="K3">
        <v>2.2272536998831818E-2</v>
      </c>
      <c r="L3">
        <v>-0.21601330243563199</v>
      </c>
      <c r="M3">
        <v>0.298141581405858</v>
      </c>
      <c r="N3">
        <v>0.32689779647482031</v>
      </c>
      <c r="O3">
        <v>16810</v>
      </c>
      <c r="P3">
        <v>1000</v>
      </c>
    </row>
    <row r="4" spans="1:16" x14ac:dyDescent="0.2">
      <c r="A4" s="1">
        <v>4000</v>
      </c>
      <c r="B4">
        <v>5</v>
      </c>
      <c r="C4">
        <v>3.3604882432767998E-2</v>
      </c>
      <c r="D4">
        <v>2.5980383654480431E-2</v>
      </c>
      <c r="E4">
        <v>3.6730508928003613E-2</v>
      </c>
      <c r="F4">
        <v>-7.8455435481456556E-3</v>
      </c>
      <c r="G4">
        <v>-6.2445156614624967E-3</v>
      </c>
      <c r="H4">
        <v>-1.6727829901024701E-3</v>
      </c>
      <c r="I4">
        <v>2.42998049097897E-2</v>
      </c>
      <c r="J4">
        <v>1.432700582705867E-2</v>
      </c>
      <c r="K4">
        <v>1.5998055163496921E-2</v>
      </c>
      <c r="L4">
        <v>-3.3922891493697718E-2</v>
      </c>
      <c r="M4">
        <v>0.71450065874627255</v>
      </c>
      <c r="N4">
        <v>0.42695551399503517</v>
      </c>
      <c r="O4">
        <v>15050</v>
      </c>
      <c r="P4">
        <v>4000</v>
      </c>
    </row>
    <row r="5" spans="1:16" x14ac:dyDescent="0.2">
      <c r="C5" s="11">
        <f>C2-C4</f>
        <v>2.8454516155677539E-2</v>
      </c>
      <c r="D5" s="11">
        <f t="shared" ref="D5:H5" si="0">D2-D4</f>
        <v>4.0718935786522685E-2</v>
      </c>
      <c r="E5" s="11">
        <f t="shared" si="0"/>
        <v>1.9788986522541983E-2</v>
      </c>
      <c r="F5" s="11">
        <f t="shared" si="0"/>
        <v>5.9818209113054327E-4</v>
      </c>
      <c r="G5" s="11">
        <f t="shared" si="0"/>
        <v>-7.2100465001196865E-4</v>
      </c>
      <c r="H5" s="11">
        <f t="shared" si="0"/>
        <v>1.6756259927646201E-4</v>
      </c>
    </row>
    <row r="6" spans="1:16" x14ac:dyDescent="0.2">
      <c r="C6" t="s">
        <v>23</v>
      </c>
    </row>
    <row r="13" spans="1:16" x14ac:dyDescent="0.2">
      <c r="F13" s="1"/>
      <c r="G13" s="1"/>
      <c r="H13" s="1"/>
    </row>
    <row r="17" spans="6:14" x14ac:dyDescent="0.2">
      <c r="G17" t="s">
        <v>20</v>
      </c>
      <c r="H17" t="s">
        <v>21</v>
      </c>
      <c r="I17" t="s">
        <v>22</v>
      </c>
    </row>
    <row r="18" spans="6:14" x14ac:dyDescent="0.2">
      <c r="G18" t="s">
        <v>15</v>
      </c>
    </row>
    <row r="19" spans="6:14" x14ac:dyDescent="0.2">
      <c r="F19" s="1" t="s">
        <v>17</v>
      </c>
      <c r="G19" s="2">
        <v>6.2059398588445537E-2</v>
      </c>
      <c r="H19" s="2">
        <v>4.7895526664642432E-2</v>
      </c>
      <c r="I19" s="2">
        <v>3.3604882432767998E-2</v>
      </c>
    </row>
    <row r="20" spans="6:14" x14ac:dyDescent="0.2">
      <c r="F20" s="1" t="s">
        <v>16</v>
      </c>
      <c r="G20" s="2">
        <v>6.6699319441003116E-2</v>
      </c>
      <c r="H20" s="2">
        <v>4.6479855936181882E-2</v>
      </c>
      <c r="I20" s="2">
        <v>2.5980383654480431E-2</v>
      </c>
    </row>
    <row r="21" spans="6:14" x14ac:dyDescent="0.2">
      <c r="F21" s="1" t="s">
        <v>18</v>
      </c>
      <c r="G21" s="2">
        <v>5.6519495450545597E-2</v>
      </c>
      <c r="H21" s="2">
        <v>4.6824765993604189E-2</v>
      </c>
      <c r="I21" s="2">
        <v>3.6730508928003613E-2</v>
      </c>
    </row>
    <row r="22" spans="6:14" x14ac:dyDescent="0.2">
      <c r="G22" t="s">
        <v>19</v>
      </c>
    </row>
    <row r="23" spans="6:14" x14ac:dyDescent="0.2">
      <c r="F23" s="1" t="s">
        <v>17</v>
      </c>
      <c r="G23" s="2">
        <v>-7.2473614570151123E-3</v>
      </c>
      <c r="H23" s="2">
        <v>-7.5925126667607508E-3</v>
      </c>
      <c r="I23" s="2">
        <v>-7.8455435481456556E-3</v>
      </c>
    </row>
    <row r="24" spans="6:14" x14ac:dyDescent="0.2">
      <c r="F24" s="1" t="s">
        <v>16</v>
      </c>
      <c r="G24" s="2">
        <v>-6.9655203114744654E-3</v>
      </c>
      <c r="H24" s="2">
        <v>-4.6544695412844119E-3</v>
      </c>
      <c r="I24" s="2">
        <v>-6.2445156614624967E-3</v>
      </c>
    </row>
    <row r="25" spans="6:14" x14ac:dyDescent="0.2">
      <c r="F25" s="1" t="s">
        <v>18</v>
      </c>
      <c r="G25" s="2">
        <v>-1.5052203908260081E-3</v>
      </c>
      <c r="H25" s="2">
        <v>-1.946116320152626E-4</v>
      </c>
      <c r="I25" s="2">
        <v>-1.6727829901024701E-3</v>
      </c>
    </row>
    <row r="27" spans="6:14" x14ac:dyDescent="0.2">
      <c r="L27" t="s">
        <v>20</v>
      </c>
      <c r="M27" t="s">
        <v>21</v>
      </c>
      <c r="N27" t="s">
        <v>22</v>
      </c>
    </row>
    <row r="28" spans="6:14" x14ac:dyDescent="0.2">
      <c r="L28" t="s">
        <v>15</v>
      </c>
    </row>
    <row r="29" spans="6:14" x14ac:dyDescent="0.2">
      <c r="K29" t="s">
        <v>17</v>
      </c>
      <c r="L29">
        <v>6.2E-2</v>
      </c>
      <c r="M29">
        <v>4.8000000000000001E-2</v>
      </c>
      <c r="N29">
        <v>3.4000000000000002E-2</v>
      </c>
    </row>
    <row r="30" spans="6:14" x14ac:dyDescent="0.2">
      <c r="K30" t="s">
        <v>16</v>
      </c>
      <c r="L30">
        <v>6.7000000000000004E-2</v>
      </c>
      <c r="M30">
        <v>4.5999999999999999E-2</v>
      </c>
      <c r="N30">
        <v>2.5999999999999999E-2</v>
      </c>
    </row>
    <row r="31" spans="6:14" x14ac:dyDescent="0.2">
      <c r="K31" t="s">
        <v>18</v>
      </c>
      <c r="L31">
        <v>5.7000000000000002E-2</v>
      </c>
      <c r="M31">
        <v>4.7E-2</v>
      </c>
      <c r="N31">
        <v>3.6999999999999998E-2</v>
      </c>
    </row>
    <row r="32" spans="6:14" x14ac:dyDescent="0.2">
      <c r="L32" t="s">
        <v>19</v>
      </c>
    </row>
    <row r="33" spans="4:14" x14ac:dyDescent="0.2">
      <c r="K33" t="s">
        <v>17</v>
      </c>
      <c r="L33">
        <v>-7.0000000000000001E-3</v>
      </c>
      <c r="M33">
        <v>-8.0000000000000002E-3</v>
      </c>
      <c r="N33">
        <v>-8.0000000000000002E-3</v>
      </c>
    </row>
    <row r="34" spans="4:14" x14ac:dyDescent="0.2">
      <c r="K34" t="s">
        <v>16</v>
      </c>
      <c r="L34">
        <v>-7.0000000000000001E-3</v>
      </c>
      <c r="M34">
        <v>-5.0000000000000001E-3</v>
      </c>
      <c r="N34">
        <v>-6.0000000000000001E-3</v>
      </c>
    </row>
    <row r="35" spans="4:14" x14ac:dyDescent="0.2">
      <c r="K35" t="s">
        <v>18</v>
      </c>
      <c r="L35">
        <v>-2E-3</v>
      </c>
      <c r="M35">
        <v>0</v>
      </c>
      <c r="N35">
        <v>-2E-3</v>
      </c>
    </row>
    <row r="44" spans="4:14" ht="16" thickBot="1" x14ac:dyDescent="0.25"/>
    <row r="45" spans="4:14" ht="16" thickBot="1" x14ac:dyDescent="0.25">
      <c r="D45" s="7">
        <v>3.6999999999999998E-2</v>
      </c>
      <c r="E45" s="8">
        <v>5.2999999999999999E-2</v>
      </c>
      <c r="F45" s="8">
        <v>6.0999999999999999E-2</v>
      </c>
      <c r="G45" s="8">
        <v>0.06</v>
      </c>
      <c r="H45" s="8">
        <v>4.8000000000000001E-2</v>
      </c>
      <c r="J45" s="3">
        <v>3.7999999999999999E-2</v>
      </c>
      <c r="K45" s="4">
        <v>6.6000000000000003E-2</v>
      </c>
      <c r="L45" s="4">
        <v>7.0000000000000007E-2</v>
      </c>
      <c r="M45" s="4">
        <v>6.8000000000000005E-2</v>
      </c>
      <c r="N45" s="4">
        <v>6.5000000000000002E-2</v>
      </c>
    </row>
    <row r="46" spans="4:14" ht="16" thickBot="1" x14ac:dyDescent="0.25">
      <c r="D46" s="9">
        <v>3.7999999999999999E-2</v>
      </c>
      <c r="E46" s="10">
        <v>5.5E-2</v>
      </c>
      <c r="F46" s="10">
        <v>6.0999999999999999E-2</v>
      </c>
      <c r="G46" s="10">
        <v>6.0999999999999999E-2</v>
      </c>
      <c r="H46" s="10">
        <v>0.05</v>
      </c>
      <c r="J46" s="5">
        <v>3.7999999999999999E-2</v>
      </c>
      <c r="K46" s="6">
        <v>5.8000000000000003E-2</v>
      </c>
      <c r="L46" s="6">
        <v>6.9000000000000006E-2</v>
      </c>
      <c r="M46" s="6">
        <v>7.1999999999999995E-2</v>
      </c>
      <c r="N46" s="6">
        <v>0.06</v>
      </c>
    </row>
    <row r="47" spans="4:14" ht="16" thickBot="1" x14ac:dyDescent="0.25">
      <c r="D47" s="9">
        <v>2.5000000000000001E-2</v>
      </c>
      <c r="E47" s="10">
        <v>4.2999999999999997E-2</v>
      </c>
      <c r="F47" s="10">
        <v>4.8000000000000001E-2</v>
      </c>
      <c r="G47" s="10">
        <v>4.8000000000000001E-2</v>
      </c>
      <c r="H47" s="10">
        <v>4.2000000000000003E-2</v>
      </c>
      <c r="J47" s="5">
        <v>6.7000000000000004E-2</v>
      </c>
      <c r="K47" s="6">
        <v>0.13400000000000001</v>
      </c>
      <c r="L47" s="6">
        <v>0.109</v>
      </c>
      <c r="M47" s="6">
        <v>6.7000000000000004E-2</v>
      </c>
      <c r="N47" s="6">
        <v>8.2000000000000003E-2</v>
      </c>
    </row>
    <row r="49" spans="4:14" x14ac:dyDescent="0.2">
      <c r="J49">
        <f>MIN(J45:J47)</f>
        <v>3.7999999999999999E-2</v>
      </c>
      <c r="K49">
        <f t="shared" ref="K49:N49" si="1">MIN(K45:K47)</f>
        <v>5.8000000000000003E-2</v>
      </c>
      <c r="L49">
        <f t="shared" si="1"/>
        <v>6.9000000000000006E-2</v>
      </c>
      <c r="M49">
        <f t="shared" si="1"/>
        <v>6.7000000000000004E-2</v>
      </c>
      <c r="N49">
        <f t="shared" si="1"/>
        <v>0.06</v>
      </c>
    </row>
    <row r="50" spans="4:14" x14ac:dyDescent="0.2">
      <c r="D50">
        <f>D45/D$47</f>
        <v>1.4799999999999998</v>
      </c>
      <c r="E50">
        <f t="shared" ref="E50:H50" si="2">E45/E$47</f>
        <v>1.2325581395348837</v>
      </c>
      <c r="F50">
        <f t="shared" si="2"/>
        <v>1.2708333333333333</v>
      </c>
      <c r="G50">
        <f t="shared" si="2"/>
        <v>1.25</v>
      </c>
      <c r="H50">
        <f t="shared" si="2"/>
        <v>1.1428571428571428</v>
      </c>
      <c r="J50">
        <f>J45/J$49</f>
        <v>1</v>
      </c>
      <c r="K50">
        <f t="shared" ref="K50:N50" si="3">K45/K$49</f>
        <v>1.1379310344827587</v>
      </c>
      <c r="L50">
        <f t="shared" si="3"/>
        <v>1.0144927536231885</v>
      </c>
      <c r="M50">
        <f t="shared" si="3"/>
        <v>1.0149253731343284</v>
      </c>
      <c r="N50">
        <f t="shared" si="3"/>
        <v>1.0833333333333335</v>
      </c>
    </row>
    <row r="51" spans="4:14" x14ac:dyDescent="0.2">
      <c r="D51">
        <f t="shared" ref="D51:H52" si="4">D46/D$47</f>
        <v>1.5199999999999998</v>
      </c>
      <c r="E51">
        <f t="shared" si="4"/>
        <v>1.2790697674418605</v>
      </c>
      <c r="F51">
        <f t="shared" si="4"/>
        <v>1.2708333333333333</v>
      </c>
      <c r="G51">
        <f t="shared" si="4"/>
        <v>1.2708333333333333</v>
      </c>
      <c r="H51">
        <f t="shared" si="4"/>
        <v>1.1904761904761905</v>
      </c>
      <c r="J51">
        <f t="shared" ref="J51:N52" si="5">J46/J$49</f>
        <v>1</v>
      </c>
      <c r="K51">
        <f t="shared" si="5"/>
        <v>1</v>
      </c>
      <c r="L51">
        <f t="shared" si="5"/>
        <v>1</v>
      </c>
      <c r="M51">
        <f t="shared" si="5"/>
        <v>1.0746268656716416</v>
      </c>
      <c r="N51">
        <f t="shared" si="5"/>
        <v>1</v>
      </c>
    </row>
    <row r="52" spans="4:14" x14ac:dyDescent="0.2">
      <c r="D52">
        <f t="shared" si="4"/>
        <v>1</v>
      </c>
      <c r="E52">
        <f t="shared" si="4"/>
        <v>1</v>
      </c>
      <c r="F52">
        <f t="shared" si="4"/>
        <v>1</v>
      </c>
      <c r="G52">
        <f t="shared" si="4"/>
        <v>1</v>
      </c>
      <c r="H52">
        <f t="shared" si="4"/>
        <v>1</v>
      </c>
      <c r="J52">
        <f t="shared" si="5"/>
        <v>1.7631578947368423</v>
      </c>
      <c r="K52">
        <f t="shared" si="5"/>
        <v>2.3103448275862069</v>
      </c>
      <c r="L52">
        <f t="shared" si="5"/>
        <v>1.5797101449275361</v>
      </c>
      <c r="M52">
        <f t="shared" si="5"/>
        <v>1</v>
      </c>
      <c r="N52">
        <f t="shared" si="5"/>
        <v>1.3666666666666667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Tiegs, Jacob</cp:lastModifiedBy>
  <dcterms:created xsi:type="dcterms:W3CDTF">2025-02-24T21:07:00Z</dcterms:created>
  <dcterms:modified xsi:type="dcterms:W3CDTF">2025-03-14T19:56:44Z</dcterms:modified>
</cp:coreProperties>
</file>